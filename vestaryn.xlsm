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ummi\Desktop\vestaryn\"/>
    </mc:Choice>
  </mc:AlternateContent>
  <xr:revisionPtr revIDLastSave="0" documentId="13_ncr:1_{3DC8FEB0-F2D8-4F6F-A29A-15EB2C16A6ED}" xr6:coauthVersionLast="47" xr6:coauthVersionMax="47" xr10:uidLastSave="{00000000-0000-0000-0000-000000000000}"/>
  <bookViews>
    <workbookView xWindow="-96" yWindow="0" windowWidth="15552" windowHeight="16656" activeTab="1" xr2:uid="{D8EE21F1-BB44-4E6A-A49F-D98AB7A34128}"/>
  </bookViews>
  <sheets>
    <sheet name="Sheet1" sheetId="1" r:id="rId1"/>
    <sheet name="SalesData" sheetId="16" r:id="rId2"/>
    <sheet name="Summary" sheetId="17" r:id="rId3"/>
  </sheets>
  <definedNames>
    <definedName name="Genders">SalesData!$N$2:$N$3</definedName>
    <definedName name="Products">SalesData!$K$2:$K$6</definedName>
    <definedName name="Regions">SalesData!$M$2:$M$5</definedName>
    <definedName name="Salespeople">SalesData!$L$2:$L$5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6" l="1"/>
  <c r="C12" i="16"/>
  <c r="H4" i="16"/>
  <c r="B4" i="17"/>
  <c r="H12" i="16"/>
  <c r="H11" i="16"/>
  <c r="B3" i="17"/>
  <c r="H10" i="16"/>
  <c r="H5" i="16"/>
  <c r="H9" i="16"/>
  <c r="H8" i="16"/>
  <c r="H3" i="16"/>
  <c r="H7" i="16"/>
  <c r="H2" i="16"/>
  <c r="B2" i="17"/>
</calcChain>
</file>

<file path=xl/sharedStrings.xml><?xml version="1.0" encoding="utf-8"?>
<sst xmlns="http://schemas.openxmlformats.org/spreadsheetml/2006/main" count="73" uniqueCount="33">
  <si>
    <t>dwqd</t>
  </si>
  <si>
    <t>eqweqw</t>
  </si>
  <si>
    <t>1e21e</t>
  </si>
  <si>
    <t>Date</t>
  </si>
  <si>
    <t>Salesperson</t>
  </si>
  <si>
    <t>Product</t>
  </si>
  <si>
    <t>Region</t>
  </si>
  <si>
    <t>Units</t>
  </si>
  <si>
    <t>Unit Price</t>
  </si>
  <si>
    <t>Total</t>
  </si>
  <si>
    <t>Notes</t>
  </si>
  <si>
    <t>Widget A</t>
  </si>
  <si>
    <t>Widget B</t>
  </si>
  <si>
    <t>Widget C</t>
  </si>
  <si>
    <t>Service X</t>
  </si>
  <si>
    <t>Service Y</t>
  </si>
  <si>
    <t>Alice</t>
  </si>
  <si>
    <t>Bob</t>
  </si>
  <si>
    <t>Charlie</t>
  </si>
  <si>
    <t>Dana</t>
  </si>
  <si>
    <t>North</t>
  </si>
  <si>
    <t>South</t>
  </si>
  <si>
    <t>East</t>
  </si>
  <si>
    <t>West</t>
  </si>
  <si>
    <t>Gender</t>
  </si>
  <si>
    <t>Male</t>
  </si>
  <si>
    <t>Female</t>
  </si>
  <si>
    <t>Top Return Salesperson:</t>
  </si>
  <si>
    <t>Metric</t>
  </si>
  <si>
    <t>Value</t>
  </si>
  <si>
    <t>Total Sales</t>
  </si>
  <si>
    <t>Average Sale</t>
  </si>
  <si>
    <t>Highest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</si>
</sst>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&quot;€&quot;#,##0.00"/>
  </numFmts>
  <fonts count="2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CE6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 applyAlignment="1">
      <alignment horizontal="left"/>
    </xf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4">
    <dxf>
      <font>
        <b/>
      </font>
      <fill>
        <patternFill patternType="solid">
          <fgColor indexed="64"/>
          <bgColor rgb="FFDCE6F1"/>
        </patternFill>
      </fill>
      <alignment horizontal="center" vertical="bottom" textRotation="0" wrapText="0" indent="0" justifyLastLine="0" shrinkToFit="0" readingOrder="0"/>
    </dxf>
    <dxf>
      <numFmt numFmtId="165" formatCode="&quot;€&quot;#,##0.00"/>
    </dxf>
    <dxf>
      <numFmt numFmtId="165" formatCode="&quot;€&quot;#,##0.00"/>
    </dxf>
    <dxf>
      <numFmt numFmtId="164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Total Sales by Date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Sales</c:v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0377-4C4B-8EA7-7BD6368F4BA1}"/>
              </c:ext>
            </c:extLst>
          </c:dPt>
          <c:cat>
            <c:numRef>
              <c:f>SalesData!$A$2:$A$12</c:f>
              <c:numCache>
                <c:formatCode>yyyy\-mm\-dd</c:formatCode>
                <c:ptCount val="11"/>
                <c:pt idx="0">
                  <c:v>46100</c:v>
                </c:pt>
                <c:pt idx="1">
                  <c:v>46101</c:v>
                </c:pt>
                <c:pt idx="2">
                  <c:v>46102</c:v>
                </c:pt>
                <c:pt idx="3">
                  <c:v>46103</c:v>
                </c:pt>
                <c:pt idx="4">
                  <c:v>46104</c:v>
                </c:pt>
                <c:pt idx="5">
                  <c:v>46105</c:v>
                </c:pt>
                <c:pt idx="6">
                  <c:v>46106</c:v>
                </c:pt>
                <c:pt idx="7">
                  <c:v>46107</c:v>
                </c:pt>
                <c:pt idx="8">
                  <c:v>46108</c:v>
                </c:pt>
                <c:pt idx="9">
                  <c:v>46109</c:v>
                </c:pt>
              </c:numCache>
            </c:numRef>
          </c:cat>
          <c:val>
            <c:numRef>
              <c:f>SalesData!$H$2:$H$12</c:f>
              <c:numCache>
                <c:formatCode>"€"#,##0.00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77-4C4B-8EA7-7BD6368F4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0952383"/>
        <c:axId val="2070952863"/>
      </c:barChart>
      <c:dateAx>
        <c:axId val="2070952383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070952863"/>
        <c:crosses val="autoZero"/>
        <c:auto val="1"/>
        <c:lblOffset val="100"/>
        <c:baseTimeUnit val="days"/>
      </c:dateAx>
      <c:valAx>
        <c:axId val="2070952863"/>
        <c:scaling>
          <c:orientation val="minMax"/>
        </c:scaling>
        <c:delete val="0"/>
        <c:axPos val="l"/>
        <c:majorGridlines/>
        <c:numFmt formatCode="&quot;€&quot;#.##000" sourceLinked="0"/>
        <c:majorTickMark val="out"/>
        <c:minorTickMark val="none"/>
        <c:tickLblPos val="nextTo"/>
        <c:crossAx val="207095238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662940</xdr:colOff>
      <xdr:row>4</xdr:row>
      <xdr:rowOff>22860</xdr:rowOff>
    </xdr:from>
    <xdr:to>
      <xdr:col>8</xdr:col>
      <xdr:colOff>640080</xdr:colOff>
      <xdr:row>6</xdr:row>
      <xdr:rowOff>99060</xdr:rowOff>
    </xdr:to>
    <xdr:sp macro="[0]!CreateSampleSalesData" textlink="">
      <xdr:nvSpPr>
        <xdr:cNvPr id="2" name="Rectangle 1">
          <a:extLst>
            <a:ext uri="{FF2B5EF4-FFF2-40B4-BE49-F238E27FC236}">
              <a16:creationId xmlns:a16="http://schemas.microsoft.com/office/drawing/2014/main" id="{E23C101C-FCC7-C2C0-86C2-FFC23D78EA08}"/>
            </a:ext>
          </a:extLst>
        </xdr:cNvPr>
        <xdr:cNvSpPr/>
      </xdr:nvSpPr>
      <xdr:spPr>
        <a:xfrm>
          <a:off x="4686300" y="723900"/>
          <a:ext cx="1318260" cy="4267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243840</xdr:colOff>
      <xdr:row>14</xdr:row>
      <xdr:rowOff>45720</xdr:rowOff>
    </xdr:from>
    <xdr:to>
      <xdr:col>6</xdr:col>
      <xdr:colOff>360680</xdr:colOff>
      <xdr:row>37</xdr:row>
      <xdr:rowOff>78740</xdr:rowOff>
    </xdr:to>
    <xdr:graphicFrame macro="">
      <xdr:nvGraphicFramePr>
        <xdr:cNvPr id="2" name="SalesDataChart">
          <a:extLst>
            <a:ext uri="{FF2B5EF4-FFF2-40B4-BE49-F238E27FC236}">
              <a16:creationId xmlns:a16="http://schemas.microsoft.com/office/drawing/2014/main" id="{346DA4EE-41A8-08D5-E6A9-646D0A28E4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F5ED09-5CA2-4B71-BB85-CE5967C89BF4}" name="SalesTable" displayName="SalesTable" ref="A1:I12" totalsRowShown="0" headerRowDxfId="0">
  <autoFilter ref="A1:I12" xr:uid="{F5F5ED09-5CA2-4B71-BB85-CE5967C89BF4}"/>
  <tableColumns count="9">
    <tableColumn id="1" xr3:uid="{DE6A8C4D-C28A-4D52-9967-4B0C4CB5CD0B}" name="Date" dataDxfId="3"/>
    <tableColumn id="2" xr3:uid="{75430F93-AF9A-4A1D-879E-D0FC6CFE28A8}" name="Salesperson"/>
    <tableColumn id="3" xr3:uid="{23AA5124-AB10-40BC-93A8-5DB051925865}" name="Gender"/>
    <tableColumn id="4" xr3:uid="{368BAF92-CCB9-4682-A340-A7E0F58A0EAF}" name="Product"/>
    <tableColumn id="5" xr3:uid="{891B6D54-0D88-4CA7-8B53-ED6A680134A0}" name="Region"/>
    <tableColumn id="6" xr3:uid="{233813FF-A430-4130-837A-A918438EF5C9}" name="Units"/>
    <tableColumn id="7" xr3:uid="{8EF68A69-B28D-4FAC-8DBA-5E54DEBF6358}" name="Unit Price" dataDxfId="2"/>
    <tableColumn id="8" xr3:uid="{5E0B6448-2882-4295-860E-5AFB9C3C5D91}" name="Total" dataDxfId="1">
      <calculatedColumnFormula>MAX(SalesTable[Total])</calculatedColumnFormula>
    </tableColumn>
    <tableColumn id="9" xr3:uid="{47786B05-2521-4D68-9017-0D1622B92517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882DD-4A8B-4E19-B1F7-0E8F16B9535D}">
  <sheetPr codeName="Sheet1"/>
  <dimension ref="A1:C1"/>
  <sheetViews>
    <sheetView workbookViewId="0">
      <selection activeCell="L19" sqref="L19"/>
    </sheetView>
  </sheetViews>
  <sheetFormatPr defaultRowHeight="13.8"/>
  <cols>
    <col min="1" max="3" width="8.796875" style="1"/>
  </cols>
  <sheetData>
    <row r="1" spans="1:3">
      <c r="A1" s="1" t="s">
        <v>0</v>
      </c>
      <c r="B1" s="1" t="s">
        <v>1</v>
      </c>
      <c r="C1" s="1" t="s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EEB9-6743-4E03-9C35-F5ED5ABC67EA}">
  <sheetPr codeName="Sheet16"/>
  <dimension ref="A1:N12"/>
  <sheetViews>
    <sheetView tabSelected="1" workbookViewId="0">
      <pane ySplit="1" topLeftCell="A2" activePane="bottomLeft" state="frozen"/>
      <selection pane="bottomLeft" activeCell="H2" sqref="H2"/>
    </sheetView>
  </sheetViews>
  <sheetFormatPr defaultRowHeight="13.8"/>
  <cols>
    <col min="1" max="1" width="10.09765625" bestFit="1" customWidth="1"/>
    <col min="2" max="2" width="23" bestFit="1" customWidth="1"/>
    <col min="3" max="3" width="11.3984375" bestFit="1" customWidth="1"/>
    <col min="4" max="4" width="11.69921875" bestFit="1" customWidth="1"/>
    <col min="5" max="5" width="11.09765625" bestFit="1" customWidth="1"/>
    <col min="6" max="6" width="9.3984375" bestFit="1" customWidth="1"/>
    <col min="7" max="7" width="13.3984375" bestFit="1" customWidth="1"/>
    <col min="8" max="8" width="9.19921875" bestFit="1" customWidth="1"/>
    <col min="9" max="9" width="10" bestFit="1" customWidth="1"/>
    <col min="11" max="14" width="0" hidden="1" customWidth="1"/>
  </cols>
  <sheetData>
    <row r="1" spans="1:14">
      <c r="A1" s="5" t="s">
        <v>3</v>
      </c>
      <c r="B1" s="5" t="s">
        <v>4</v>
      </c>
      <c r="C1" s="5" t="s">
        <v>24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9</v>
      </c>
      <c r="I1" s="5" t="s">
        <v>10</v>
      </c>
    </row>
    <row r="2" spans="1:14">
      <c r="A2" s="2">
        <v>46100</v>
      </c>
      <c r="B2" t="s">
        <v>16</v>
      </c>
      <c r="C2" t="s">
        <v>25</v>
      </c>
      <c r="D2" t="s">
        <v>11</v>
      </c>
      <c r="E2" t="s">
        <v>20</v>
      </c>
      <c r="F2">
        <v>5</v>
      </c>
      <c r="G2" s="3">
        <v>19.989999999999998</v>
      </c>
      <c r="H2" s="3">
        <f ca="1">MAX(SalesTable[Total])</f>
        <v>0</v>
      </c>
      <c r="K2" t="s">
        <v>11</v>
      </c>
      <c r="L2" t="s">
        <v>16</v>
      </c>
      <c r="M2" t="s">
        <v>20</v>
      </c>
      <c r="N2" t="s">
        <v>25</v>
      </c>
    </row>
    <row r="3" spans="1:14">
      <c r="A3" s="2">
        <v>46101</v>
      </c>
      <c r="B3" t="s">
        <v>17</v>
      </c>
      <c r="C3" t="s">
        <v>25</v>
      </c>
      <c r="D3" t="s">
        <v>12</v>
      </c>
      <c r="E3" t="s">
        <v>21</v>
      </c>
      <c r="F3">
        <v>2</v>
      </c>
      <c r="G3" s="3">
        <v>49.5</v>
      </c>
      <c r="H3" s="3">
        <f ca="1">MAX(SalesTable[Total])</f>
        <v>0</v>
      </c>
      <c r="K3" t="s">
        <v>12</v>
      </c>
      <c r="L3" t="s">
        <v>17</v>
      </c>
      <c r="M3" t="s">
        <v>21</v>
      </c>
      <c r="N3" t="s">
        <v>26</v>
      </c>
    </row>
    <row r="4" spans="1:14">
      <c r="A4" s="2">
        <v>46102</v>
      </c>
      <c r="B4" t="s">
        <v>18</v>
      </c>
      <c r="C4" t="s">
        <v>25</v>
      </c>
      <c r="D4" t="s">
        <v>13</v>
      </c>
      <c r="E4" t="s">
        <v>22</v>
      </c>
      <c r="F4">
        <v>10</v>
      </c>
      <c r="G4" s="3">
        <v>12</v>
      </c>
      <c r="H4" s="3">
        <f ca="1">MAX(SalesTable[Total])</f>
        <v>0</v>
      </c>
      <c r="K4" t="s">
        <v>13</v>
      </c>
      <c r="L4" t="s">
        <v>18</v>
      </c>
      <c r="M4" t="s">
        <v>22</v>
      </c>
    </row>
    <row r="5" spans="1:14">
      <c r="A5" s="2">
        <v>46103</v>
      </c>
      <c r="B5" t="s">
        <v>19</v>
      </c>
      <c r="C5" t="s">
        <v>25</v>
      </c>
      <c r="D5" t="s">
        <v>14</v>
      </c>
      <c r="E5" t="s">
        <v>23</v>
      </c>
      <c r="F5">
        <v>1</v>
      </c>
      <c r="G5" s="3">
        <v>150</v>
      </c>
      <c r="H5" s="3">
        <f ca="1">MAX(SalesTable[Total])</f>
        <v>0</v>
      </c>
      <c r="K5" t="s">
        <v>14</v>
      </c>
      <c r="L5" t="s">
        <v>19</v>
      </c>
      <c r="M5" t="s">
        <v>23</v>
      </c>
    </row>
    <row r="6" spans="1:14">
      <c r="A6" s="2">
        <v>46104</v>
      </c>
      <c r="B6" t="s">
        <v>16</v>
      </c>
      <c r="C6" t="s">
        <v>25</v>
      </c>
      <c r="D6" t="s">
        <v>15</v>
      </c>
      <c r="E6" t="s">
        <v>20</v>
      </c>
      <c r="F6">
        <v>7</v>
      </c>
      <c r="G6" s="3">
        <v>75</v>
      </c>
      <c r="H6" s="3">
        <f ca="1">MAX(SalesTable[Total])</f>
        <v>0</v>
      </c>
      <c r="K6" t="s">
        <v>15</v>
      </c>
    </row>
    <row r="7" spans="1:14">
      <c r="A7" s="2">
        <v>46105</v>
      </c>
      <c r="B7" t="s">
        <v>17</v>
      </c>
      <c r="C7" t="s">
        <v>25</v>
      </c>
      <c r="D7" t="s">
        <v>11</v>
      </c>
      <c r="E7" t="s">
        <v>21</v>
      </c>
      <c r="F7">
        <v>3</v>
      </c>
      <c r="G7" s="3">
        <v>30</v>
      </c>
      <c r="H7" s="3">
        <f ca="1">MAX(SalesTable[Total])</f>
        <v>0</v>
      </c>
    </row>
    <row r="8" spans="1:14">
      <c r="A8" s="2">
        <v>46106</v>
      </c>
      <c r="B8" t="s">
        <v>18</v>
      </c>
      <c r="C8" t="s">
        <v>25</v>
      </c>
      <c r="D8" t="s">
        <v>12</v>
      </c>
      <c r="E8" t="s">
        <v>22</v>
      </c>
      <c r="F8">
        <v>8</v>
      </c>
      <c r="G8" s="3">
        <v>9.99</v>
      </c>
      <c r="H8" s="3">
        <f ca="1">MAX(SalesTable[Total])</f>
        <v>0</v>
      </c>
    </row>
    <row r="9" spans="1:14">
      <c r="A9" s="2">
        <v>46107</v>
      </c>
      <c r="B9" t="s">
        <v>19</v>
      </c>
      <c r="C9" t="s">
        <v>25</v>
      </c>
      <c r="D9" t="s">
        <v>13</v>
      </c>
      <c r="E9" t="s">
        <v>23</v>
      </c>
      <c r="F9">
        <v>4</v>
      </c>
      <c r="G9" s="3">
        <v>25</v>
      </c>
      <c r="H9" s="3">
        <f ca="1">MAX(SalesTable[Total])</f>
        <v>0</v>
      </c>
    </row>
    <row r="10" spans="1:14">
      <c r="A10" s="2">
        <v>46108</v>
      </c>
      <c r="B10" t="s">
        <v>16</v>
      </c>
      <c r="C10" t="s">
        <v>25</v>
      </c>
      <c r="D10" t="s">
        <v>14</v>
      </c>
      <c r="E10" t="s">
        <v>20</v>
      </c>
      <c r="F10">
        <v>6</v>
      </c>
      <c r="G10" s="3">
        <v>44</v>
      </c>
      <c r="H10" s="3">
        <f ca="1">MAX(SalesTable[Total])</f>
        <v>0</v>
      </c>
    </row>
    <row r="11" spans="1:14">
      <c r="A11" s="2">
        <v>46109</v>
      </c>
      <c r="B11" t="s">
        <v>17</v>
      </c>
      <c r="C11" t="s">
        <v>25</v>
      </c>
      <c r="D11" t="s">
        <v>15</v>
      </c>
      <c r="E11" t="s">
        <v>21</v>
      </c>
      <c r="F11">
        <v>9</v>
      </c>
      <c r="G11" s="3">
        <v>10</v>
      </c>
      <c r="H11" s="3">
        <f ca="1">MAX(SalesTable[Total])</f>
        <v>0</v>
      </c>
    </row>
    <row r="12" spans="1:14">
      <c r="A12" s="2"/>
      <c r="B12" s="4" t="s">
        <v>27</v>
      </c>
      <c r="C12" s="4" t="str">
        <f ca="1">INDEX(SalesTable[Salesperson],MATCH(MAX(SalesTable[Total]),SalesTable[Total],0))</f>
        <v>Alice</v>
      </c>
      <c r="G12" s="3"/>
      <c r="H12" s="3">
        <f ca="1">MAX(SalesTable[Total])</f>
        <v>0</v>
      </c>
    </row>
  </sheetData>
  <dataValidations count="4">
    <dataValidation type="list" allowBlank="1" showInputMessage="1" showErrorMessage="1" sqref="B2:B11" xr:uid="{A7F8B7EE-79CD-4157-B5FD-56A9DB194176}">
      <formula1>Salespeople</formula1>
    </dataValidation>
    <dataValidation type="list" allowBlank="1" showInputMessage="1" showErrorMessage="1" sqref="C2:C11" xr:uid="{7CF9E8A3-DA19-45F5-85EE-CA00C663334E}">
      <formula1>Genders</formula1>
    </dataValidation>
    <dataValidation type="list" allowBlank="1" showInputMessage="1" showErrorMessage="1" sqref="D2:D11" xr:uid="{8493911A-6A8D-4D33-A9A2-F7710AB09C99}">
      <formula1>Products</formula1>
    </dataValidation>
    <dataValidation type="list" allowBlank="1" showInputMessage="1" showErrorMessage="1" sqref="E2:E11" xr:uid="{C70573B7-F635-4ED5-86E0-DC5B6FFD0D57}">
      <formula1>Regions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38276-74F0-451A-9208-5ADDEDA307E0}">
  <sheetPr codeName="Sheet17"/>
  <dimension ref="A1:B4"/>
  <sheetViews>
    <sheetView workbookViewId="0"/>
  </sheetViews>
  <sheetFormatPr defaultRowHeight="13.8"/>
  <cols>
    <col min="1" max="1" width="12.59765625" bestFit="1" customWidth="1"/>
    <col min="2" max="2" width="5.8984375" bestFit="1" customWidth="1"/>
  </cols>
  <sheetData>
    <row r="1" spans="1:2">
      <c r="A1" s="4" t="s">
        <v>28</v>
      </c>
      <c r="B1" s="4" t="s">
        <v>29</v>
      </c>
    </row>
    <row r="2" spans="1:2">
      <c r="A2" s="4" t="s">
        <v>30</v>
      </c>
      <c r="B2" s="3">
        <f ca="1">SUM(SalesTable[Total])</f>
        <v>0</v>
      </c>
    </row>
    <row r="3" spans="1:2">
      <c r="A3" s="4" t="s">
        <v>31</v>
      </c>
      <c r="B3" s="3">
        <f ca="1">AVERAGE(SalesTable[Total])</f>
        <v>0</v>
      </c>
    </row>
    <row r="4" spans="1:2">
      <c r="A4" s="4" t="s">
        <v>32</v>
      </c>
      <c r="B4" s="3">
        <f ca="1">MAX(SalesTable[Total])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SalesData</vt:lpstr>
      <vt:lpstr>Summary</vt:lpstr>
      <vt:lpstr>Genders</vt:lpstr>
      <vt:lpstr>Products</vt:lpstr>
      <vt:lpstr>Regions</vt:lpstr>
      <vt:lpstr>Salespeople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romano kreugel</dc:creator>
  <cp:lastModifiedBy>Romano Kreugel</cp:lastModifiedBy>
  <dcterms:created xsi:type="dcterms:W3CDTF">2026-03-29T17:36:01Z</dcterms:created>
  <dcterms:modified xsi:type="dcterms:W3CDTF">2026-03-29T21:06:17Z</dcterms:modified>
</cp:coreProperties>
</file>